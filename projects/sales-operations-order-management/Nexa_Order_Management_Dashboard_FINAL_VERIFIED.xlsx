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Register" sheetId="1" state="visible" r:id="rId1"/>
    <sheet xmlns:r="http://schemas.openxmlformats.org/officeDocument/2006/relationships" name="Order Summary" sheetId="2" state="visible" r:id="rId2"/>
  </sheets>
  <definedNames>
    <definedName name="_xlnm._FilterDatabase" localSheetId="0" hidden="1">'Order Register'!$A$1:$P$13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R#,##0.00"/>
    <numFmt numFmtId="165" formatCode="dd-mmm-yyyy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</font>
    <font>
      <b val="1"/>
      <color rgb="00FFFFFF"/>
      <sz val="20"/>
    </font>
    <font>
      <i val="1"/>
      <color rgb="00666666"/>
      <sz val="11"/>
    </font>
    <font>
      <b val="1"/>
      <color rgb="0017365D"/>
      <sz val="16"/>
    </font>
    <font>
      <b val="1"/>
      <color rgb="0017365D"/>
    </font>
    <font>
      <b val="1"/>
      <color rgb="0017365D"/>
      <sz val="14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EAF2F8"/>
      </patternFill>
    </fill>
    <fill>
      <patternFill patternType="solid">
        <fgColor rgb="007F8C8D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3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4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1" fontId="6" fillId="5" borderId="0" applyAlignment="1" pivotButton="0" quotePrefix="0" xfId="0">
      <alignment horizontal="center"/>
    </xf>
    <xf numFmtId="164" fontId="6" fillId="5" borderId="0" applyAlignment="1" pivotButton="0" quotePrefix="0" xfId="0">
      <alignment horizontal="center"/>
    </xf>
    <xf numFmtId="0" fontId="1" fillId="6" borderId="0" pivotButton="0" quotePrefix="0" xfId="0"/>
    <xf numFmtId="0" fontId="7" fillId="7" borderId="0" pivotButton="0" quotePrefix="0" xfId="0"/>
    <xf numFmtId="0" fontId="0" fillId="7" borderId="0" pivotButton="0" quotePrefix="0" xfId="0"/>
    <xf numFmtId="0" fontId="8" fillId="0" borderId="0" pivotButton="0" quotePrefix="0" xfId="0"/>
    <xf numFmtId="0" fontId="1" fillId="2" borderId="2" applyAlignment="1" pivotButton="0" quotePrefix="0" xfId="0">
      <alignment horizontal="left"/>
    </xf>
    <xf numFmtId="0" fontId="1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1" fontId="0" fillId="0" borderId="2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'Order Summary'!E10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'Order Summary'!$D$11:$D$18</f>
            </numRef>
          </cat>
          <val>
            <numRef>
              <f>'Order Summary'!$E$11:$E$18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 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9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rderRegister" displayName="OrderRegister" ref="A1:P13" headerRowCount="1">
  <autoFilter ref="A1:P13"/>
  <tableColumns count="16">
    <tableColumn id="1" name="Order ID"/>
    <tableColumn id="2" name="Order Date"/>
    <tableColumn id="3" name="Customer"/>
    <tableColumn id="4" name="Contact Person"/>
    <tableColumn id="5" name="Product"/>
    <tableColumn id="6" name="Quantity"/>
    <tableColumn id="7" name="Unit Price"/>
    <tableColumn id="8" name="Total Value"/>
    <tableColumn id="9" name="Payment Status"/>
    <tableColumn id="10" name="Order Status"/>
    <tableColumn id="11" name="Priority"/>
    <tableColumn id="12" name="Expected Delivery"/>
    <tableColumn id="13" name="Follow-Up Date"/>
    <tableColumn id="14" name="Assigned To"/>
    <tableColumn id="15" name="Notes"/>
    <tableColumn id="16" name="Order Heal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20" customWidth="1" min="4" max="4"/>
    <col width="24" customWidth="1" min="5" max="5"/>
    <col width="10" customWidth="1" min="6" max="6"/>
    <col width="14" customWidth="1" min="7" max="7"/>
    <col width="15" customWidth="1" min="8" max="8"/>
    <col width="17" customWidth="1" min="9" max="9"/>
    <col width="17" customWidth="1" min="10" max="10"/>
    <col width="11" customWidth="1" min="11" max="11"/>
    <col width="17" customWidth="1" min="12" max="12"/>
    <col width="15" customWidth="1" min="13" max="13"/>
    <col width="18" customWidth="1" min="14" max="14"/>
    <col width="34" customWidth="1" min="15" max="15"/>
    <col width="18" customWidth="1" min="16" max="16"/>
  </cols>
  <sheetData>
    <row r="1" ht="28" customHeight="1">
      <c r="A1" s="8" t="inlineStr">
        <is>
          <t>Order ID</t>
        </is>
      </c>
      <c r="B1" s="8" t="inlineStr">
        <is>
          <t>Order Date</t>
        </is>
      </c>
      <c r="C1" s="8" t="inlineStr">
        <is>
          <t>Customer</t>
        </is>
      </c>
      <c r="D1" s="8" t="inlineStr">
        <is>
          <t>Contact Person</t>
        </is>
      </c>
      <c r="E1" s="8" t="inlineStr">
        <is>
          <t>Product</t>
        </is>
      </c>
      <c r="F1" s="8" t="inlineStr">
        <is>
          <t>Quantity</t>
        </is>
      </c>
      <c r="G1" s="8" t="inlineStr">
        <is>
          <t>Unit Price</t>
        </is>
      </c>
      <c r="H1" s="8" t="inlineStr">
        <is>
          <t>Total Value</t>
        </is>
      </c>
      <c r="I1" s="8" t="inlineStr">
        <is>
          <t>Payment Status</t>
        </is>
      </c>
      <c r="J1" s="8" t="inlineStr">
        <is>
          <t>Order Status</t>
        </is>
      </c>
      <c r="K1" s="8" t="inlineStr">
        <is>
          <t>Priority</t>
        </is>
      </c>
      <c r="L1" s="8" t="inlineStr">
        <is>
          <t>Expected Delivery</t>
        </is>
      </c>
      <c r="M1" s="8" t="inlineStr">
        <is>
          <t>Follow-Up Date</t>
        </is>
      </c>
      <c r="N1" s="8" t="inlineStr">
        <is>
          <t>Assigned To</t>
        </is>
      </c>
      <c r="O1" s="8" t="inlineStr">
        <is>
          <t>Notes</t>
        </is>
      </c>
      <c r="P1" s="8" t="inlineStr">
        <is>
          <t>Order Health</t>
        </is>
      </c>
    </row>
    <row r="2">
      <c r="A2" s="9" t="inlineStr">
        <is>
          <t>ORD-1001</t>
        </is>
      </c>
      <c r="B2" s="10" t="inlineStr">
        <is>
          <t>2026-09-01</t>
        </is>
      </c>
      <c r="C2" s="9" t="inlineStr">
        <is>
          <t>BluePeak Consulting</t>
        </is>
      </c>
      <c r="D2" s="9" t="inlineStr">
        <is>
          <t>Lerato Mokoena</t>
        </is>
      </c>
      <c r="E2" s="9" t="inlineStr">
        <is>
          <t>Laptop Stand</t>
        </is>
      </c>
      <c r="F2" s="9" t="n">
        <v>12</v>
      </c>
      <c r="G2" s="11" t="n">
        <v>450</v>
      </c>
      <c r="H2" s="11">
        <f>IF(OR(F2="",G2=""),"",F2*G2)</f>
        <v/>
      </c>
      <c r="I2" s="9" t="inlineStr">
        <is>
          <t>Partially Paid</t>
        </is>
      </c>
      <c r="J2" s="9" t="inlineStr">
        <is>
          <t>Processing</t>
        </is>
      </c>
      <c r="K2" s="9" t="inlineStr">
        <is>
          <t>Normal</t>
        </is>
      </c>
      <c r="L2" s="10" t="inlineStr">
        <is>
          <t>2026-09-05</t>
        </is>
      </c>
      <c r="M2" s="10" t="inlineStr">
        <is>
          <t>2026-09-03</t>
        </is>
      </c>
      <c r="N2" s="9" t="inlineStr">
        <is>
          <t>Sipho</t>
        </is>
      </c>
      <c r="O2" s="9" t="inlineStr">
        <is>
          <t>Customer requested delivery confirmation</t>
        </is>
      </c>
      <c r="P2" s="9">
        <f>IF(OR(I2="Overdue",J2="On Hold",K2="Urgent"),"Action Required",IF(J2="Delivered","Complete","On Track"))</f>
        <v/>
      </c>
    </row>
    <row r="3">
      <c r="A3" s="9" t="inlineStr">
        <is>
          <t>ORD-1002</t>
        </is>
      </c>
      <c r="B3" s="10" t="inlineStr">
        <is>
          <t>2026-09-01</t>
        </is>
      </c>
      <c r="C3" s="9" t="inlineStr">
        <is>
          <t>Greenline Logistics</t>
        </is>
      </c>
      <c r="D3" s="9" t="inlineStr">
        <is>
          <t>Thabo Ndlovu</t>
        </is>
      </c>
      <c r="E3" s="9" t="inlineStr">
        <is>
          <t>Wireless Keyboard</t>
        </is>
      </c>
      <c r="F3" s="9" t="n">
        <v>25</v>
      </c>
      <c r="G3" s="11" t="n">
        <v>680</v>
      </c>
      <c r="H3" s="11">
        <f>IF(OR(F3="",G3=""),"",F3*G3)</f>
        <v/>
      </c>
      <c r="I3" s="9" t="inlineStr">
        <is>
          <t>Paid</t>
        </is>
      </c>
      <c r="J3" s="9" t="inlineStr">
        <is>
          <t>Ready for Dispatch</t>
        </is>
      </c>
      <c r="K3" s="9" t="inlineStr">
        <is>
          <t>High</t>
        </is>
      </c>
      <c r="L3" s="10" t="inlineStr">
        <is>
          <t>2026-09-04</t>
        </is>
      </c>
      <c r="M3" s="10" t="inlineStr">
        <is>
          <t>2026-09-02</t>
        </is>
      </c>
      <c r="N3" s="9" t="inlineStr">
        <is>
          <t>Amanda</t>
        </is>
      </c>
      <c r="O3" s="9" t="inlineStr">
        <is>
          <t>Stock confirmed</t>
        </is>
      </c>
      <c r="P3" s="9">
        <f>IF(OR(I3="Overdue",J3="On Hold",K3="Urgent"),"Action Required",IF(J3="Delivered","Complete","On Track"))</f>
        <v/>
      </c>
    </row>
    <row r="4">
      <c r="A4" s="9" t="inlineStr">
        <is>
          <t>ORD-1003</t>
        </is>
      </c>
      <c r="B4" s="10" t="inlineStr">
        <is>
          <t>2026-09-02</t>
        </is>
      </c>
      <c r="C4" s="9" t="inlineStr">
        <is>
          <t>Horizon Legal Services</t>
        </is>
      </c>
      <c r="D4" s="9" t="inlineStr">
        <is>
          <t>Naledi Dlamini</t>
        </is>
      </c>
      <c r="E4" s="9" t="inlineStr">
        <is>
          <t>24-inch Monitor</t>
        </is>
      </c>
      <c r="F4" s="9" t="n">
        <v>8</v>
      </c>
      <c r="G4" s="11" t="n">
        <v>3200</v>
      </c>
      <c r="H4" s="11">
        <f>IF(OR(F4="",G4=""),"",F4*G4)</f>
        <v/>
      </c>
      <c r="I4" s="9" t="inlineStr">
        <is>
          <t>Pending</t>
        </is>
      </c>
      <c r="J4" s="9" t="inlineStr">
        <is>
          <t>Awaiting Payment</t>
        </is>
      </c>
      <c r="K4" s="9" t="inlineStr">
        <is>
          <t>High</t>
        </is>
      </c>
      <c r="L4" s="10" t="inlineStr">
        <is>
          <t>2026-09-07</t>
        </is>
      </c>
      <c r="M4" s="10" t="inlineStr">
        <is>
          <t>2026-09-04</t>
        </is>
      </c>
      <c r="N4" s="9" t="inlineStr">
        <is>
          <t>Sipho</t>
        </is>
      </c>
      <c r="O4" s="9" t="inlineStr">
        <is>
          <t>Invoice sent to customer</t>
        </is>
      </c>
      <c r="P4" s="9">
        <f>IF(OR(I4="Overdue",J4="On Hold",K4="Urgent"),"Action Required",IF(J4="Delivered","Complete","On Track"))</f>
        <v/>
      </c>
    </row>
    <row r="5">
      <c r="A5" s="9" t="inlineStr">
        <is>
          <t>ORD-1004</t>
        </is>
      </c>
      <c r="B5" s="10" t="inlineStr">
        <is>
          <t>2026-09-02</t>
        </is>
      </c>
      <c r="C5" s="9" t="inlineStr">
        <is>
          <t>MetroBuild Projects</t>
        </is>
      </c>
      <c r="D5" s="9" t="inlineStr">
        <is>
          <t>Jason Williams</t>
        </is>
      </c>
      <c r="E5" s="9" t="inlineStr">
        <is>
          <t>Office Chair</t>
        </is>
      </c>
      <c r="F5" s="9" t="n">
        <v>15</v>
      </c>
      <c r="G5" s="11" t="n">
        <v>1850</v>
      </c>
      <c r="H5" s="11">
        <f>IF(OR(F5="",G5=""),"",F5*G5)</f>
        <v/>
      </c>
      <c r="I5" s="9" t="inlineStr">
        <is>
          <t>Paid</t>
        </is>
      </c>
      <c r="J5" s="9" t="inlineStr">
        <is>
          <t>Processing</t>
        </is>
      </c>
      <c r="K5" s="9" t="inlineStr">
        <is>
          <t>Normal</t>
        </is>
      </c>
      <c r="L5" s="10" t="inlineStr">
        <is>
          <t>2026-09-08</t>
        </is>
      </c>
      <c r="M5" s="10" t="inlineStr">
        <is>
          <t>2026-09-05</t>
        </is>
      </c>
      <c r="N5" s="9" t="inlineStr">
        <is>
          <t>Amanda</t>
        </is>
      </c>
      <c r="O5" s="9" t="inlineStr">
        <is>
          <t>Assembly required</t>
        </is>
      </c>
      <c r="P5" s="9">
        <f>IF(OR(I5="Overdue",J5="On Hold",K5="Urgent"),"Action Required",IF(J5="Delivered","Complete","On Track"))</f>
        <v/>
      </c>
    </row>
    <row r="6">
      <c r="A6" s="9" t="inlineStr">
        <is>
          <t>ORD-1005</t>
        </is>
      </c>
      <c r="B6" s="10" t="inlineStr">
        <is>
          <t>2026-09-03</t>
        </is>
      </c>
      <c r="C6" s="9" t="inlineStr">
        <is>
          <t>Coastal Media Group</t>
        </is>
      </c>
      <c r="D6" s="9" t="inlineStr">
        <is>
          <t>Zanele Jacobs</t>
        </is>
      </c>
      <c r="E6" s="9" t="inlineStr">
        <is>
          <t>USB-C Docking Station</t>
        </is>
      </c>
      <c r="F6" s="9" t="n">
        <v>6</v>
      </c>
      <c r="G6" s="11" t="n">
        <v>2100</v>
      </c>
      <c r="H6" s="11">
        <f>IF(OR(F6="",G6=""),"",F6*G6)</f>
        <v/>
      </c>
      <c r="I6" s="9" t="inlineStr">
        <is>
          <t>Pending</t>
        </is>
      </c>
      <c r="J6" s="9" t="inlineStr">
        <is>
          <t>On Hold</t>
        </is>
      </c>
      <c r="K6" s="9" t="inlineStr">
        <is>
          <t>Urgent</t>
        </is>
      </c>
      <c r="L6" s="10" t="inlineStr">
        <is>
          <t>2026-09-06</t>
        </is>
      </c>
      <c r="M6" s="10" t="inlineStr">
        <is>
          <t>2026-09-04</t>
        </is>
      </c>
      <c r="N6" s="9" t="inlineStr">
        <is>
          <t>Sipho</t>
        </is>
      </c>
      <c r="O6" s="9" t="inlineStr">
        <is>
          <t>Customer requested updated quotation</t>
        </is>
      </c>
      <c r="P6" s="9">
        <f>IF(OR(I6="Overdue",J6="On Hold",K6="Urgent"),"Action Required",IF(J6="Delivered","Complete","On Track"))</f>
        <v/>
      </c>
    </row>
    <row r="7">
      <c r="A7" s="9" t="inlineStr">
        <is>
          <t>ORD-1006</t>
        </is>
      </c>
      <c r="B7" s="10" t="inlineStr">
        <is>
          <t>2026-09-03</t>
        </is>
      </c>
      <c r="C7" s="9" t="inlineStr">
        <is>
          <t>PrimeCare Supplies</t>
        </is>
      </c>
      <c r="D7" s="9" t="inlineStr">
        <is>
          <t>Musa Khumalo</t>
        </is>
      </c>
      <c r="E7" s="9" t="inlineStr">
        <is>
          <t>Wireless Mouse</t>
        </is>
      </c>
      <c r="F7" s="9" t="n">
        <v>30</v>
      </c>
      <c r="G7" s="11" t="n">
        <v>390</v>
      </c>
      <c r="H7" s="11">
        <f>IF(OR(F7="",G7=""),"",F7*G7)</f>
        <v/>
      </c>
      <c r="I7" s="9" t="inlineStr">
        <is>
          <t>Paid</t>
        </is>
      </c>
      <c r="J7" s="9" t="inlineStr">
        <is>
          <t>Dispatched</t>
        </is>
      </c>
      <c r="K7" s="9" t="inlineStr">
        <is>
          <t>Normal</t>
        </is>
      </c>
      <c r="L7" s="10" t="inlineStr">
        <is>
          <t>2026-09-06</t>
        </is>
      </c>
      <c r="M7" s="10" t="inlineStr">
        <is>
          <t>2026-09-05</t>
        </is>
      </c>
      <c r="N7" s="9" t="inlineStr">
        <is>
          <t>Amanda</t>
        </is>
      </c>
      <c r="O7" s="9" t="inlineStr">
        <is>
          <t>Courier tracking shared</t>
        </is>
      </c>
      <c r="P7" s="9">
        <f>IF(OR(I7="Overdue",J7="On Hold",K7="Urgent"),"Action Required",IF(J7="Delivered","Complete","On Track"))</f>
        <v/>
      </c>
    </row>
    <row r="8">
      <c r="A8" s="9" t="inlineStr">
        <is>
          <t>ORD-1007</t>
        </is>
      </c>
      <c r="B8" s="10" t="inlineStr">
        <is>
          <t>2026-09-04</t>
        </is>
      </c>
      <c r="C8" s="9" t="inlineStr">
        <is>
          <t>Summit Engineering</t>
        </is>
      </c>
      <c r="D8" s="9" t="inlineStr">
        <is>
          <t>Pieter Botha</t>
        </is>
      </c>
      <c r="E8" s="9" t="inlineStr">
        <is>
          <t>Laptop</t>
        </is>
      </c>
      <c r="F8" s="9" t="n">
        <v>5</v>
      </c>
      <c r="G8" s="11" t="n">
        <v>12500</v>
      </c>
      <c r="H8" s="11">
        <f>IF(OR(F8="",G8=""),"",F8*G8)</f>
        <v/>
      </c>
      <c r="I8" s="9" t="inlineStr">
        <is>
          <t>Paid</t>
        </is>
      </c>
      <c r="J8" s="9" t="inlineStr">
        <is>
          <t>Processing</t>
        </is>
      </c>
      <c r="K8" s="9" t="inlineStr">
        <is>
          <t>High</t>
        </is>
      </c>
      <c r="L8" s="10" t="inlineStr">
        <is>
          <t>2026-09-10</t>
        </is>
      </c>
      <c r="M8" s="10" t="inlineStr">
        <is>
          <t>2026-09-06</t>
        </is>
      </c>
      <c r="N8" s="9" t="inlineStr">
        <is>
          <t>Sipho</t>
        </is>
      </c>
      <c r="O8" s="9" t="inlineStr">
        <is>
          <t>Awaiting final configuration</t>
        </is>
      </c>
      <c r="P8" s="9">
        <f>IF(OR(I8="Overdue",J8="On Hold",K8="Urgent"),"Action Required",IF(J8="Delivered","Complete","On Track"))</f>
        <v/>
      </c>
    </row>
    <row r="9">
      <c r="A9" s="9" t="inlineStr">
        <is>
          <t>ORD-1008</t>
        </is>
      </c>
      <c r="B9" s="10" t="inlineStr">
        <is>
          <t>2026-09-04</t>
        </is>
      </c>
      <c r="C9" s="9" t="inlineStr">
        <is>
          <t>Atlas Property Group</t>
        </is>
      </c>
      <c r="D9" s="9" t="inlineStr">
        <is>
          <t>Nomsa Cele</t>
        </is>
      </c>
      <c r="E9" s="9" t="inlineStr">
        <is>
          <t>Printer</t>
        </is>
      </c>
      <c r="F9" s="9" t="n">
        <v>3</v>
      </c>
      <c r="G9" s="11" t="n">
        <v>6800</v>
      </c>
      <c r="H9" s="11">
        <f>IF(OR(F9="",G9=""),"",F9*G9)</f>
        <v/>
      </c>
      <c r="I9" s="9" t="inlineStr">
        <is>
          <t>Pending</t>
        </is>
      </c>
      <c r="J9" s="9" t="inlineStr">
        <is>
          <t>Awaiting Payment</t>
        </is>
      </c>
      <c r="K9" s="9" t="inlineStr">
        <is>
          <t>Normal</t>
        </is>
      </c>
      <c r="L9" s="10" t="inlineStr">
        <is>
          <t>2026-09-09</t>
        </is>
      </c>
      <c r="M9" s="10" t="inlineStr">
        <is>
          <t>2026-09-06</t>
        </is>
      </c>
      <c r="N9" s="9" t="inlineStr">
        <is>
          <t>Amanda</t>
        </is>
      </c>
      <c r="O9" s="9" t="inlineStr">
        <is>
          <t>Payment reminder required</t>
        </is>
      </c>
      <c r="P9" s="9">
        <f>IF(OR(I9="Overdue",J9="On Hold",K9="Urgent"),"Action Required",IF(J9="Delivered","Complete","On Track"))</f>
        <v/>
      </c>
    </row>
    <row r="10">
      <c r="A10" s="9" t="inlineStr">
        <is>
          <t>ORD-1009</t>
        </is>
      </c>
      <c r="B10" s="10" t="inlineStr">
        <is>
          <t>2026-09-05</t>
        </is>
      </c>
      <c r="C10" s="9" t="inlineStr">
        <is>
          <t>Eastway Accounting</t>
        </is>
      </c>
      <c r="D10" s="9" t="inlineStr">
        <is>
          <t>Kim Adams</t>
        </is>
      </c>
      <c r="E10" s="9" t="inlineStr">
        <is>
          <t>External Hard Drive</t>
        </is>
      </c>
      <c r="F10" s="9" t="n">
        <v>10</v>
      </c>
      <c r="G10" s="11" t="n">
        <v>1450</v>
      </c>
      <c r="H10" s="11">
        <f>IF(OR(F10="",G10=""),"",F10*G10)</f>
        <v/>
      </c>
      <c r="I10" s="9" t="inlineStr">
        <is>
          <t>Paid</t>
        </is>
      </c>
      <c r="J10" s="9" t="inlineStr">
        <is>
          <t>Delivered</t>
        </is>
      </c>
      <c r="K10" s="9" t="inlineStr">
        <is>
          <t>Low</t>
        </is>
      </c>
      <c r="L10" s="10" t="inlineStr">
        <is>
          <t>2026-09-08</t>
        </is>
      </c>
      <c r="M10" s="10" t="inlineStr">
        <is>
          <t>2026-09-07</t>
        </is>
      </c>
      <c r="N10" s="9" t="inlineStr">
        <is>
          <t>Sipho</t>
        </is>
      </c>
      <c r="O10" s="9" t="inlineStr">
        <is>
          <t>Customer confirmed receipt</t>
        </is>
      </c>
      <c r="P10" s="9">
        <f>IF(OR(I10="Overdue",J10="On Hold",K10="Urgent"),"Action Required",IF(J10="Delivered","Complete","On Track"))</f>
        <v/>
      </c>
    </row>
    <row r="11">
      <c r="A11" s="9" t="inlineStr">
        <is>
          <t>ORD-1010</t>
        </is>
      </c>
      <c r="B11" s="10" t="inlineStr">
        <is>
          <t>2026-09-05</t>
        </is>
      </c>
      <c r="C11" s="9" t="inlineStr">
        <is>
          <t>NovaTech Solutions</t>
        </is>
      </c>
      <c r="D11" s="9" t="inlineStr">
        <is>
          <t>Bongani Maseko</t>
        </is>
      </c>
      <c r="E11" s="9" t="inlineStr">
        <is>
          <t>24-inch Monitor</t>
        </is>
      </c>
      <c r="F11" s="9" t="n">
        <v>12</v>
      </c>
      <c r="G11" s="11" t="n">
        <v>3200</v>
      </c>
      <c r="H11" s="11">
        <f>IF(OR(F11="",G11=""),"",F11*G11)</f>
        <v/>
      </c>
      <c r="I11" s="9" t="inlineStr">
        <is>
          <t>Overdue</t>
        </is>
      </c>
      <c r="J11" s="9" t="inlineStr">
        <is>
          <t>On Hold</t>
        </is>
      </c>
      <c r="K11" s="9" t="inlineStr">
        <is>
          <t>Urgent</t>
        </is>
      </c>
      <c r="L11" s="10" t="inlineStr">
        <is>
          <t>2026-09-09</t>
        </is>
      </c>
      <c r="M11" s="10" t="inlineStr">
        <is>
          <t>2026-09-07</t>
        </is>
      </c>
      <c r="N11" s="9" t="inlineStr">
        <is>
          <t>Amanda</t>
        </is>
      </c>
      <c r="O11" s="9" t="inlineStr">
        <is>
          <t>Payment overdue; order paused</t>
        </is>
      </c>
      <c r="P11" s="9">
        <f>IF(OR(I11="Overdue",J11="On Hold",K11="Urgent"),"Action Required",IF(J11="Delivered","Complete","On Track"))</f>
        <v/>
      </c>
    </row>
    <row r="12">
      <c r="A12" s="9" t="inlineStr">
        <is>
          <t>ORD-1011</t>
        </is>
      </c>
      <c r="B12" s="10" t="inlineStr">
        <is>
          <t>2026-09-06</t>
        </is>
      </c>
      <c r="C12" s="9" t="inlineStr">
        <is>
          <t>Westbridge Architects</t>
        </is>
      </c>
      <c r="D12" s="9" t="inlineStr">
        <is>
          <t>Claire Daniels</t>
        </is>
      </c>
      <c r="E12" s="9" t="inlineStr">
        <is>
          <t>Office Desk</t>
        </is>
      </c>
      <c r="F12" s="9" t="n">
        <v>7</v>
      </c>
      <c r="G12" s="11" t="n">
        <v>4200</v>
      </c>
      <c r="H12" s="11">
        <f>IF(OR(F12="",G12=""),"",F12*G12)</f>
        <v/>
      </c>
      <c r="I12" s="9" t="inlineStr">
        <is>
          <t>Paid</t>
        </is>
      </c>
      <c r="J12" s="9" t="inlineStr">
        <is>
          <t>Processing</t>
        </is>
      </c>
      <c r="K12" s="9" t="inlineStr">
        <is>
          <t>Normal</t>
        </is>
      </c>
      <c r="L12" s="10" t="inlineStr">
        <is>
          <t>2026-09-12</t>
        </is>
      </c>
      <c r="M12" s="10" t="inlineStr">
        <is>
          <t>2026-09-08</t>
        </is>
      </c>
      <c r="N12" s="9" t="inlineStr">
        <is>
          <t>Sipho</t>
        </is>
      </c>
      <c r="O12" s="9" t="inlineStr">
        <is>
          <t>Delivery slot being arranged</t>
        </is>
      </c>
      <c r="P12" s="9">
        <f>IF(OR(I12="Overdue",J12="On Hold",K12="Urgent"),"Action Required",IF(J12="Delivered","Complete","On Track"))</f>
        <v/>
      </c>
    </row>
    <row r="13">
      <c r="A13" s="9" t="inlineStr">
        <is>
          <t>ORD-1012</t>
        </is>
      </c>
      <c r="B13" s="10" t="inlineStr">
        <is>
          <t>2026-09-06</t>
        </is>
      </c>
      <c r="C13" s="9" t="inlineStr">
        <is>
          <t>PeakPoint Marketing</t>
        </is>
      </c>
      <c r="D13" s="9" t="inlineStr">
        <is>
          <t>Andile Ncube</t>
        </is>
      </c>
      <c r="E13" s="9" t="inlineStr">
        <is>
          <t>Webcam</t>
        </is>
      </c>
      <c r="F13" s="9" t="n">
        <v>10</v>
      </c>
      <c r="G13" s="11" t="n">
        <v>950</v>
      </c>
      <c r="H13" s="11">
        <f>IF(OR(F13="",G13=""),"",F13*G13)</f>
        <v/>
      </c>
      <c r="I13" s="9" t="inlineStr">
        <is>
          <t>Paid</t>
        </is>
      </c>
      <c r="J13" s="9" t="inlineStr">
        <is>
          <t>Ready for Dispatch</t>
        </is>
      </c>
      <c r="K13" s="9" t="inlineStr">
        <is>
          <t>High</t>
        </is>
      </c>
      <c r="L13" s="10" t="inlineStr">
        <is>
          <t>2026-09-10</t>
        </is>
      </c>
      <c r="M13" s="10" t="inlineStr">
        <is>
          <t>2026-09-08</t>
        </is>
      </c>
      <c r="N13" s="9" t="inlineStr">
        <is>
          <t>Amanda</t>
        </is>
      </c>
      <c r="O13" s="9" t="inlineStr">
        <is>
          <t>Dispatch scheduled</t>
        </is>
      </c>
      <c r="P13" s="9">
        <f>IF(OR(I13="Overdue",J13="On Hold",K13="Urgent"),"Action Required",IF(J13="Delivered","Complete","On Track"))</f>
        <v/>
      </c>
    </row>
  </sheetData>
  <autoFilter ref="A1:P13"/>
  <conditionalFormatting sqref="P2:P1048576">
    <cfRule type="expression" priority="1" dxfId="0">
      <formula>P2="Action Required"</formula>
    </cfRule>
    <cfRule type="expression" priority="2" dxfId="1">
      <formula>P2="Complete"</formula>
    </cfRule>
    <cfRule type="expression" priority="3" dxfId="2">
      <formula>P2="On Track"</formula>
    </cfRule>
  </conditionalFormatting>
  <dataValidations count="3">
    <dataValidation sqref="I2:I500" showDropDown="0" showInputMessage="0" showErrorMessage="0" allowBlank="0" type="list">
      <formula1>"Paid,Pending,Partially Paid,Overdue"</formula1>
    </dataValidation>
    <dataValidation sqref="J2:J500" showDropDown="0" showInputMessage="0" showErrorMessage="0" allowBlank="0" type="list">
      <formula1>"New,Processing,Awaiting Payment,Ready for Dispatch,Dispatched,Delivered,On Hold,Cancelled"</formula1>
    </dataValidation>
    <dataValidation sqref="K2:K500" showDropDown="0" showInputMessage="0" showErrorMessage="0" allowBlank="0" type="list">
      <formula1>"Low,Normal,High,Urgent"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3" customWidth="1" min="3" max="3"/>
    <col width="22" customWidth="1" min="4" max="4"/>
    <col width="20" customWidth="1" min="5" max="5"/>
    <col width="22" customWidth="1" min="6" max="6"/>
    <col width="18" customWidth="1" min="7" max="7"/>
    <col width="18" customWidth="1" min="8" max="8"/>
  </cols>
  <sheetData>
    <row r="1" ht="36" customHeight="1">
      <c r="A1" s="12" t="inlineStr">
        <is>
          <t>NEXA ORDER MANAGEMENT DASHBOARD</t>
        </is>
      </c>
    </row>
    <row r="2">
      <c r="A2" s="13" t="inlineStr">
        <is>
          <t>Sales Operations &amp; Order Management Overview</t>
        </is>
      </c>
    </row>
    <row r="4">
      <c r="A4" s="14" t="inlineStr">
        <is>
          <t>Total Orders</t>
        </is>
      </c>
      <c r="C4" s="14" t="inlineStr">
        <is>
          <t>Total Order Value</t>
        </is>
      </c>
      <c r="E4" s="14" t="inlineStr">
        <is>
          <t>Orders Requiring Action</t>
        </is>
      </c>
      <c r="G4" s="14" t="inlineStr">
        <is>
          <t>Current Pipeline Value</t>
        </is>
      </c>
    </row>
    <row r="5">
      <c r="A5" s="15">
        <f>COUNTA('Order Register'!A:A)-1</f>
        <v/>
      </c>
      <c r="C5" s="16">
        <f>SUM('Order Register'!H:H)</f>
        <v/>
      </c>
      <c r="E5" s="15">
        <f>COUNTIF('Order Register'!P:P,"Action Required")</f>
        <v/>
      </c>
      <c r="G5" s="16">
        <f>SUMIFS('Order Register'!H:H,'Order Register'!J:J,"&lt;&gt;Delivered",'Order Register'!J:J,"&lt;&gt;Cancelled")</f>
        <v/>
      </c>
    </row>
    <row r="7">
      <c r="A7" s="17" t="inlineStr">
        <is>
          <t>Delivered Orders</t>
        </is>
      </c>
      <c r="B7" s="18">
        <f>COUNTIF('Order Register'!J:J,"Delivered")</f>
        <v/>
      </c>
      <c r="C7" s="17" t="inlineStr">
        <is>
          <t>Orders Awaiting Payment</t>
        </is>
      </c>
      <c r="D7" s="18">
        <f>COUNTIF('Order Register'!J:J,"Awaiting Payment")</f>
        <v/>
      </c>
      <c r="E7" s="17" t="inlineStr">
        <is>
          <t>Data Source</t>
        </is>
      </c>
      <c r="F7" s="19" t="inlineStr">
        <is>
          <t>Order Register table</t>
        </is>
      </c>
    </row>
    <row r="10">
      <c r="A10" s="20" t="inlineStr">
        <is>
          <t>ORDER STATUS</t>
        </is>
      </c>
      <c r="D10" s="21" t="inlineStr">
        <is>
          <t>STATUS</t>
        </is>
      </c>
      <c r="E10" s="22" t="inlineStr">
        <is>
          <t>COUNT</t>
        </is>
      </c>
    </row>
    <row r="11">
      <c r="D11" s="23" t="inlineStr">
        <is>
          <t>New</t>
        </is>
      </c>
      <c r="E11" s="24">
        <f>COUNTIF('Order Register'!J:J,D11)</f>
        <v/>
      </c>
    </row>
    <row r="12">
      <c r="D12" s="23" t="inlineStr">
        <is>
          <t>Processing</t>
        </is>
      </c>
      <c r="E12" s="24">
        <f>COUNTIF('Order Register'!J:J,D12)</f>
        <v/>
      </c>
    </row>
    <row r="13">
      <c r="D13" s="23" t="inlineStr">
        <is>
          <t>Awaiting Payment</t>
        </is>
      </c>
      <c r="E13" s="24">
        <f>COUNTIF('Order Register'!J:J,D13)</f>
        <v/>
      </c>
    </row>
    <row r="14">
      <c r="D14" s="23" t="inlineStr">
        <is>
          <t>Ready for Dispatch</t>
        </is>
      </c>
      <c r="E14" s="24">
        <f>COUNTIF('Order Register'!J:J,D14)</f>
        <v/>
      </c>
    </row>
    <row r="15">
      <c r="D15" s="23" t="inlineStr">
        <is>
          <t>Dispatched</t>
        </is>
      </c>
      <c r="E15" s="24">
        <f>COUNTIF('Order Register'!J:J,D15)</f>
        <v/>
      </c>
    </row>
    <row r="16">
      <c r="D16" s="23" t="inlineStr">
        <is>
          <t>Delivered</t>
        </is>
      </c>
      <c r="E16" s="24">
        <f>COUNTIF('Order Register'!J:J,D16)</f>
        <v/>
      </c>
    </row>
    <row r="17">
      <c r="D17" s="23" t="inlineStr">
        <is>
          <t>On Hold</t>
        </is>
      </c>
      <c r="E17" s="24">
        <f>COUNTIF('Order Register'!J:J,D17)</f>
        <v/>
      </c>
    </row>
    <row r="18">
      <c r="D18" s="23" t="inlineStr">
        <is>
          <t>Cancelled</t>
        </is>
      </c>
      <c r="E18" s="24">
        <f>COUNTIF('Order Register'!J:J,D18)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B1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M365 Copilot</dc:creator>
  <dcterms:created xmlns:dcterms="http://purl.org/dc/terms/" xmlns:xsi="http://www.w3.org/2001/XMLSchema-instance" xsi:type="dcterms:W3CDTF">2026-09-12T03:55:40Z</dcterms:created>
  <dcterms:modified xmlns:dcterms="http://purl.org/dc/terms/" xmlns:xsi="http://www.w3.org/2001/XMLSchema-instance" xsi:type="dcterms:W3CDTF">2026-09-21T13:33:50Z</dcterms:modified>
  <cp:lastModifiedBy>M365 Copilot</cp:lastModifiedBy>
</cp:coreProperties>
</file>